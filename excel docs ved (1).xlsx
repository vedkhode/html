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d\"/>
    </mc:Choice>
  </mc:AlternateContent>
  <bookViews>
    <workbookView xWindow="0" yWindow="0" windowWidth="28800" windowHeight="1221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J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<sst xmlns="http://schemas.openxmlformats.org/spreadsheetml/2006/main" count="32" uniqueCount="32">
  <si>
    <t>Sr. No.</t>
  </si>
  <si>
    <t>PRN</t>
  </si>
  <si>
    <t>Name</t>
  </si>
  <si>
    <t>Subject 1</t>
  </si>
  <si>
    <t>Subject 2</t>
  </si>
  <si>
    <t>Subject 3</t>
  </si>
  <si>
    <t>Subject 4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</si>
  <si>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</si>
  <si>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</si>
  <si>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</si>
  <si>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</si>
  <si>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</si>
  <si>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</si>
  <si>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</si>
  <si>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</si>
  <si>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</si>
  <si>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</si>
  <si>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</si>
  <si>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</si>
  <si>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</si>
  <si>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</si>
  <si>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</si>
  <si>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</si>
  <si>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</si>
  <si>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</si>
  <si>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</si>
  <si>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</si>
  <si>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total</t>
  </si>
  <si>
    <t>percentage</t>
  </si>
  <si>
    <t>reasult</t>
  </si>
  <si>
    <t>Distenction</t>
  </si>
  <si>
    <t>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</si>
</sst>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D5" zoomScale="190" zoomScaleNormal="190" workbookViewId="0">
      <selection activeCell="L23" sqref="L23"/>
    </sheetView>
  </sheetViews>
  <sheetFormatPr defaultRowHeight="15" x14ac:dyDescent="0.25"/>
  <cols>
    <col min="2" max="2" width="12.28515625" customWidth="1"/>
    <col min="3" max="3" width="10.5703125" customWidth="1"/>
    <col min="4" max="4" width="11.5703125" customWidth="1"/>
    <col min="5" max="5" width="11" customWidth="1"/>
    <col min="6" max="7" width="10.85546875" customWidth="1"/>
    <col min="10" max="10" width="11.42578125" customWidth="1"/>
    <col min="12" max="12" width="18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31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1</v>
      </c>
      <c r="B2" s="2">
        <v>25070521176</v>
      </c>
      <c r="C2" s="2" t="s">
        <v>7</v>
      </c>
      <c r="D2" s="2">
        <v>78</v>
      </c>
      <c r="E2" s="2">
        <v>85</v>
      </c>
      <c r="F2" s="2">
        <v>90</v>
      </c>
      <c r="G2" s="2">
        <v>88</v>
      </c>
      <c r="H2">
        <f t="shared" ref="H2:H21" si="0">SUM(D2:G2)</f>
        <v>341</v>
      </c>
      <c r="J2">
        <f t="shared" ref="J2:J21" si="1">AVERAGE(D2:G2)</f>
        <v>85.25</v>
      </c>
      <c r="K2" t="str">
        <f>IF(AND(D2&gt;=50,E2&gt;=50,F2&gt;=50,G2&gt;=50),"PASS","FAIL")</f>
        <v>PASS</v>
      </c>
      <c r="L2" t="str">
        <f>IF(AND(J2&gt;=75),"DISTENCTION","NON DISTENCTION")</f>
        <v>DISTENCTION</v>
      </c>
    </row>
    <row r="3" spans="1:12" x14ac:dyDescent="0.25">
      <c r="A3" s="2">
        <v>2</v>
      </c>
      <c r="B3" s="2">
        <v>25070521175</v>
      </c>
      <c r="C3" s="2" t="s">
        <v>8</v>
      </c>
      <c r="D3" s="2">
        <v>67</v>
      </c>
      <c r="E3" s="2">
        <v>72</v>
      </c>
      <c r="F3" s="2">
        <v>75</v>
      </c>
      <c r="G3" s="2">
        <v>70</v>
      </c>
      <c r="H3">
        <f t="shared" si="0"/>
        <v>284</v>
      </c>
      <c r="J3">
        <f t="shared" si="1"/>
        <v>71</v>
      </c>
      <c r="K3" t="str">
        <f t="shared" ref="K3:K21" si="2">IF(AND(D3&gt;=50,E3&gt;=50,F3&gt;=50,G3&gt;=50),"PASS","FAIL")</f>
        <v>PASS</v>
      </c>
      <c r="L3" t="str">
        <f t="shared" ref="L3:L21" si="3">IF(AND(J3&gt;=75),"DISTENCTION","NON DISTENCTION")</f>
        <v>NON DISTENCTION</v>
      </c>
    </row>
    <row r="4" spans="1:12" x14ac:dyDescent="0.25">
      <c r="A4" s="2">
        <v>3</v>
      </c>
      <c r="B4" s="2">
        <v>25070521174</v>
      </c>
      <c r="C4" s="2" t="s">
        <v>9</v>
      </c>
      <c r="D4" s="2">
        <v>89</v>
      </c>
      <c r="E4" s="2">
        <v>91</v>
      </c>
      <c r="F4" s="2">
        <v>93</v>
      </c>
      <c r="G4" s="2">
        <v>95</v>
      </c>
      <c r="H4">
        <f t="shared" si="0"/>
        <v>368</v>
      </c>
      <c r="J4">
        <f t="shared" si="1"/>
        <v>92</v>
      </c>
      <c r="K4" t="str">
        <f t="shared" si="2"/>
        <v>PASS</v>
      </c>
      <c r="L4" t="str">
        <f t="shared" si="3"/>
        <v>DISTENCTION</v>
      </c>
    </row>
    <row r="5" spans="1:12" x14ac:dyDescent="0.25">
      <c r="A5" s="2">
        <v>4</v>
      </c>
      <c r="B5" s="2">
        <v>25070521173</v>
      </c>
      <c r="C5" s="2" t="s">
        <v>10</v>
      </c>
      <c r="D5" s="2">
        <v>56</v>
      </c>
      <c r="E5" s="2">
        <v>60</v>
      </c>
      <c r="F5" s="2">
        <v>65</v>
      </c>
      <c r="G5" s="2">
        <v>62</v>
      </c>
      <c r="H5">
        <f t="shared" si="0"/>
        <v>243</v>
      </c>
      <c r="J5">
        <f t="shared" si="1"/>
        <v>60.75</v>
      </c>
      <c r="K5" t="str">
        <f t="shared" si="2"/>
        <v>PASS</v>
      </c>
      <c r="L5" t="str">
        <f t="shared" si="3"/>
        <v>NON DISTENCTION</v>
      </c>
    </row>
    <row r="6" spans="1:12" x14ac:dyDescent="0.25">
      <c r="A6" s="2">
        <v>5</v>
      </c>
      <c r="B6" s="2">
        <v>25070521172</v>
      </c>
      <c r="C6" s="2" t="s">
        <v>11</v>
      </c>
      <c r="D6" s="2">
        <v>70</v>
      </c>
      <c r="E6" s="2">
        <v>73</v>
      </c>
      <c r="F6" s="2">
        <v>76</v>
      </c>
      <c r="G6" s="2">
        <v>74</v>
      </c>
      <c r="H6">
        <f t="shared" si="0"/>
        <v>293</v>
      </c>
      <c r="J6">
        <f t="shared" si="1"/>
        <v>73.25</v>
      </c>
      <c r="K6" t="str">
        <f t="shared" si="2"/>
        <v>PASS</v>
      </c>
      <c r="L6" t="str">
        <f t="shared" si="3"/>
        <v>NON DISTENCTION</v>
      </c>
    </row>
    <row r="7" spans="1:12" x14ac:dyDescent="0.25">
      <c r="A7" s="2">
        <v>6</v>
      </c>
      <c r="B7" s="2">
        <v>25070521171</v>
      </c>
      <c r="C7" s="2" t="s">
        <v>12</v>
      </c>
      <c r="D7" s="2">
        <v>81</v>
      </c>
      <c r="E7" s="2">
        <v>79</v>
      </c>
      <c r="F7" s="2">
        <v>85</v>
      </c>
      <c r="G7" s="2">
        <v>88</v>
      </c>
      <c r="H7">
        <f t="shared" si="0"/>
        <v>333</v>
      </c>
      <c r="J7">
        <f t="shared" si="1"/>
        <v>83.25</v>
      </c>
      <c r="K7" t="str">
        <f t="shared" si="2"/>
        <v>PASS</v>
      </c>
      <c r="L7" t="str">
        <f t="shared" si="3"/>
        <v>DISTENCTION</v>
      </c>
    </row>
    <row r="8" spans="1:12" x14ac:dyDescent="0.25">
      <c r="A8" s="2">
        <v>7</v>
      </c>
      <c r="B8" s="2">
        <v>25070521170</v>
      </c>
      <c r="C8" s="2" t="s">
        <v>13</v>
      </c>
      <c r="D8" s="2">
        <v>62</v>
      </c>
      <c r="E8" s="2">
        <v>66</v>
      </c>
      <c r="F8" s="2">
        <v>69</v>
      </c>
      <c r="G8" s="2">
        <v>64</v>
      </c>
      <c r="H8">
        <f t="shared" si="0"/>
        <v>261</v>
      </c>
      <c r="J8">
        <f t="shared" si="1"/>
        <v>65.25</v>
      </c>
      <c r="K8" t="str">
        <f t="shared" si="2"/>
        <v>PASS</v>
      </c>
      <c r="L8" t="str">
        <f t="shared" si="3"/>
        <v>NON DISTENCTION</v>
      </c>
    </row>
    <row r="9" spans="1:12" x14ac:dyDescent="0.25">
      <c r="A9" s="2">
        <v>8</v>
      </c>
      <c r="B9" s="2">
        <v>25070521169</v>
      </c>
      <c r="C9" s="2" t="s">
        <v>14</v>
      </c>
      <c r="D9" s="2">
        <v>90</v>
      </c>
      <c r="E9" s="2">
        <v>87</v>
      </c>
      <c r="F9" s="2">
        <v>91</v>
      </c>
      <c r="G9" s="2">
        <v>92</v>
      </c>
      <c r="H9">
        <f t="shared" si="0"/>
        <v>360</v>
      </c>
      <c r="J9">
        <f t="shared" si="1"/>
        <v>90</v>
      </c>
      <c r="K9" t="str">
        <f t="shared" si="2"/>
        <v>PASS</v>
      </c>
      <c r="L9" t="str">
        <f t="shared" si="3"/>
        <v>DISTENCTION</v>
      </c>
    </row>
    <row r="10" spans="1:12" x14ac:dyDescent="0.25">
      <c r="A10" s="2">
        <v>9</v>
      </c>
      <c r="B10" s="2">
        <v>25070521168</v>
      </c>
      <c r="C10" s="2" t="s">
        <v>15</v>
      </c>
      <c r="D10" s="2">
        <v>75</v>
      </c>
      <c r="E10" s="2">
        <v>78</v>
      </c>
      <c r="F10" s="2">
        <v>80</v>
      </c>
      <c r="G10" s="2">
        <v>79</v>
      </c>
      <c r="H10">
        <f t="shared" si="0"/>
        <v>312</v>
      </c>
      <c r="J10">
        <f t="shared" si="1"/>
        <v>78</v>
      </c>
      <c r="K10" t="str">
        <f t="shared" si="2"/>
        <v>PASS</v>
      </c>
      <c r="L10" t="str">
        <f t="shared" si="3"/>
        <v>DISTENCTION</v>
      </c>
    </row>
    <row r="11" spans="1:12" x14ac:dyDescent="0.25">
      <c r="A11" s="2">
        <v>10</v>
      </c>
      <c r="B11" s="2">
        <v>25070521167</v>
      </c>
      <c r="C11" s="2" t="s">
        <v>16</v>
      </c>
      <c r="D11" s="2">
        <v>68</v>
      </c>
      <c r="E11" s="2">
        <v>70</v>
      </c>
      <c r="F11" s="2">
        <v>73</v>
      </c>
      <c r="G11" s="2">
        <v>71</v>
      </c>
      <c r="H11">
        <f t="shared" si="0"/>
        <v>282</v>
      </c>
      <c r="J11">
        <f t="shared" si="1"/>
        <v>70.5</v>
      </c>
      <c r="K11" t="str">
        <f t="shared" si="2"/>
        <v>PASS</v>
      </c>
      <c r="L11" t="str">
        <f t="shared" si="3"/>
        <v>NON DISTENCTION</v>
      </c>
    </row>
    <row r="12" spans="1:12" x14ac:dyDescent="0.25">
      <c r="A12" s="2">
        <v>11</v>
      </c>
      <c r="B12" s="2">
        <v>25070521166</v>
      </c>
      <c r="C12" s="2" t="s">
        <v>17</v>
      </c>
      <c r="D12" s="2">
        <v>85</v>
      </c>
      <c r="E12" s="2">
        <v>83</v>
      </c>
      <c r="F12" s="2">
        <v>88</v>
      </c>
      <c r="G12" s="2">
        <v>87</v>
      </c>
      <c r="H12">
        <f t="shared" si="0"/>
        <v>343</v>
      </c>
      <c r="J12">
        <f t="shared" si="1"/>
        <v>85.75</v>
      </c>
      <c r="K12" t="str">
        <f t="shared" si="2"/>
        <v>PASS</v>
      </c>
      <c r="L12" t="str">
        <f t="shared" si="3"/>
        <v>DISTENCTION</v>
      </c>
    </row>
    <row r="13" spans="1:12" x14ac:dyDescent="0.25">
      <c r="A13" s="2">
        <v>12</v>
      </c>
      <c r="B13" s="2">
        <v>25070521165</v>
      </c>
      <c r="C13" s="2" t="s">
        <v>18</v>
      </c>
      <c r="D13" s="2">
        <v>55</v>
      </c>
      <c r="E13" s="2">
        <v>59</v>
      </c>
      <c r="F13" s="2">
        <v>60</v>
      </c>
      <c r="G13" s="2">
        <v>58</v>
      </c>
      <c r="H13">
        <f t="shared" si="0"/>
        <v>232</v>
      </c>
      <c r="J13">
        <f t="shared" si="1"/>
        <v>58</v>
      </c>
      <c r="K13" t="str">
        <f t="shared" si="2"/>
        <v>PASS</v>
      </c>
      <c r="L13" t="str">
        <f t="shared" si="3"/>
        <v>NON DISTENCTION</v>
      </c>
    </row>
    <row r="14" spans="1:12" x14ac:dyDescent="0.25">
      <c r="A14" s="2">
        <v>13</v>
      </c>
      <c r="B14" s="2">
        <v>25070521164</v>
      </c>
      <c r="C14" s="2" t="s">
        <v>19</v>
      </c>
      <c r="D14" s="2">
        <v>77</v>
      </c>
      <c r="E14" s="2">
        <v>80</v>
      </c>
      <c r="F14" s="2">
        <v>82</v>
      </c>
      <c r="G14" s="2">
        <v>81</v>
      </c>
      <c r="H14">
        <f t="shared" si="0"/>
        <v>320</v>
      </c>
      <c r="J14">
        <f t="shared" si="1"/>
        <v>80</v>
      </c>
      <c r="K14" t="str">
        <f t="shared" si="2"/>
        <v>PASS</v>
      </c>
      <c r="L14" t="str">
        <f t="shared" si="3"/>
        <v>DISTENCTION</v>
      </c>
    </row>
    <row r="15" spans="1:12" x14ac:dyDescent="0.25">
      <c r="A15" s="2">
        <v>14</v>
      </c>
      <c r="B15" s="2">
        <v>25070521163</v>
      </c>
      <c r="C15" s="2" t="s">
        <v>20</v>
      </c>
      <c r="D15" s="2">
        <v>63</v>
      </c>
      <c r="E15" s="2">
        <v>67</v>
      </c>
      <c r="F15" s="2">
        <v>65</v>
      </c>
      <c r="G15" s="2">
        <v>66</v>
      </c>
      <c r="H15">
        <f t="shared" si="0"/>
        <v>261</v>
      </c>
      <c r="J15">
        <f t="shared" si="1"/>
        <v>65.25</v>
      </c>
      <c r="K15" t="str">
        <f t="shared" si="2"/>
        <v>PASS</v>
      </c>
      <c r="L15" t="str">
        <f t="shared" si="3"/>
        <v>NON DISTENCTION</v>
      </c>
    </row>
    <row r="16" spans="1:12" x14ac:dyDescent="0.25">
      <c r="A16" s="2">
        <v>15</v>
      </c>
      <c r="B16" s="2">
        <v>25070521162</v>
      </c>
      <c r="C16" s="2" t="s">
        <v>21</v>
      </c>
      <c r="D16" s="2">
        <v>92</v>
      </c>
      <c r="E16" s="2">
        <v>95</v>
      </c>
      <c r="F16" s="2">
        <v>94</v>
      </c>
      <c r="G16" s="2">
        <v>96</v>
      </c>
      <c r="H16">
        <f t="shared" si="0"/>
        <v>377</v>
      </c>
      <c r="J16">
        <f t="shared" si="1"/>
        <v>94.25</v>
      </c>
      <c r="K16" t="str">
        <f t="shared" si="2"/>
        <v>PASS</v>
      </c>
      <c r="L16" t="str">
        <f t="shared" si="3"/>
        <v>DISTENCTION</v>
      </c>
    </row>
    <row r="17" spans="1:12" x14ac:dyDescent="0.25">
      <c r="A17" s="2">
        <v>16</v>
      </c>
      <c r="B17" s="2">
        <v>25070521161</v>
      </c>
      <c r="C17" s="2" t="s">
        <v>22</v>
      </c>
      <c r="D17" s="2">
        <v>71</v>
      </c>
      <c r="E17" s="2">
        <v>74</v>
      </c>
      <c r="F17" s="2">
        <v>70</v>
      </c>
      <c r="G17" s="2">
        <v>73</v>
      </c>
      <c r="H17">
        <f t="shared" si="0"/>
        <v>288</v>
      </c>
      <c r="J17">
        <f t="shared" si="1"/>
        <v>72</v>
      </c>
      <c r="K17" t="str">
        <f t="shared" si="2"/>
        <v>PASS</v>
      </c>
      <c r="L17" t="str">
        <f t="shared" si="3"/>
        <v>NON DISTENCTION</v>
      </c>
    </row>
    <row r="18" spans="1:12" x14ac:dyDescent="0.25">
      <c r="A18" s="2">
        <v>17</v>
      </c>
      <c r="B18" s="2">
        <v>25070521160</v>
      </c>
      <c r="C18" s="2" t="s">
        <v>23</v>
      </c>
      <c r="D18" s="2">
        <v>88</v>
      </c>
      <c r="E18" s="2">
        <v>86</v>
      </c>
      <c r="F18" s="2">
        <v>90</v>
      </c>
      <c r="G18" s="2">
        <v>89</v>
      </c>
      <c r="H18">
        <f t="shared" si="0"/>
        <v>353</v>
      </c>
      <c r="J18">
        <f t="shared" si="1"/>
        <v>88.25</v>
      </c>
      <c r="K18" t="str">
        <f t="shared" si="2"/>
        <v>PASS</v>
      </c>
      <c r="L18" t="str">
        <f t="shared" si="3"/>
        <v>DISTENCTION</v>
      </c>
    </row>
    <row r="19" spans="1:12" x14ac:dyDescent="0.25">
      <c r="A19" s="2">
        <v>18</v>
      </c>
      <c r="B19" s="2">
        <v>25070521159</v>
      </c>
      <c r="C19" s="2" t="s">
        <v>24</v>
      </c>
      <c r="D19" s="2">
        <v>66</v>
      </c>
      <c r="E19" s="2">
        <v>69</v>
      </c>
      <c r="F19" s="2">
        <v>68</v>
      </c>
      <c r="G19" s="2">
        <v>67</v>
      </c>
      <c r="H19">
        <f t="shared" si="0"/>
        <v>270</v>
      </c>
      <c r="J19">
        <f t="shared" si="1"/>
        <v>67.5</v>
      </c>
      <c r="K19" t="str">
        <f t="shared" si="2"/>
        <v>PASS</v>
      </c>
      <c r="L19" t="str">
        <f t="shared" si="3"/>
        <v>NON DISTENCTION</v>
      </c>
    </row>
    <row r="20" spans="1:12" x14ac:dyDescent="0.25">
      <c r="A20" s="2">
        <v>19</v>
      </c>
      <c r="B20" s="2">
        <v>25070521158</v>
      </c>
      <c r="C20" s="2" t="s">
        <v>25</v>
      </c>
      <c r="D20" s="2">
        <v>79</v>
      </c>
      <c r="E20" s="2">
        <v>81</v>
      </c>
      <c r="F20" s="2">
        <v>84</v>
      </c>
      <c r="G20" s="2">
        <v>80</v>
      </c>
      <c r="H20">
        <f t="shared" si="0"/>
        <v>324</v>
      </c>
      <c r="J20">
        <f t="shared" si="1"/>
        <v>81</v>
      </c>
      <c r="K20" t="str">
        <f t="shared" si="2"/>
        <v>PASS</v>
      </c>
      <c r="L20" t="str">
        <f t="shared" si="3"/>
        <v>DISTENCTION</v>
      </c>
    </row>
    <row r="21" spans="1:12" x14ac:dyDescent="0.25">
      <c r="A21" s="2">
        <v>20</v>
      </c>
      <c r="B21" s="2">
        <v>25070521157</v>
      </c>
      <c r="C21" s="2" t="s">
        <v>26</v>
      </c>
      <c r="D21" s="2">
        <v>60</v>
      </c>
      <c r="E21" s="2">
        <v>62</v>
      </c>
      <c r="F21" s="2">
        <v>64</v>
      </c>
      <c r="G21" s="2">
        <v>61</v>
      </c>
      <c r="H21">
        <f t="shared" si="0"/>
        <v>247</v>
      </c>
      <c r="J21">
        <f t="shared" si="1"/>
        <v>61.75</v>
      </c>
      <c r="K21" t="str">
        <f t="shared" si="2"/>
        <v>PASS</v>
      </c>
      <c r="L21" t="str">
        <f t="shared" si="3"/>
        <v>NON DISTENCTION</v>
      </c>
    </row>
    <row r="22" spans="1:12" x14ac:dyDescent="0.25">
      <c r="B22" s="2"/>
      <c r="L22">
        <f>COUNTIF(L2:L21,"DISTENCTION")</f>
        <v>10</v>
      </c>
    </row>
    <row r="50" spans="5:5" x14ac:dyDescent="0.25">
      <c r="E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2025-10-06T06:27:36Z</dcterms:created>
  <dcterms:modified xsi:type="dcterms:W3CDTF">2025-10-06T07:52:19Z</dcterms:modified>
</cp:coreProperties>
</file>